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rongfan/Desktop/Growth_Model/Fortran/"/>
    </mc:Choice>
  </mc:AlternateContent>
  <xr:revisionPtr revIDLastSave="0" documentId="13_ncr:1_{5FDD39F3-A4F9-1647-83DD-958747892C52}" xr6:coauthVersionLast="47" xr6:coauthVersionMax="47" xr10:uidLastSave="{00000000-0000-0000-0000-000000000000}"/>
  <bookViews>
    <workbookView xWindow="0" yWindow="500" windowWidth="25600" windowHeight="13820" activeTab="1" xr2:uid="{205AC799-7347-4F47-B6E0-E525F39ABDF3}"/>
  </bookViews>
  <sheets>
    <sheet name="One_Group" sheetId="2" r:id="rId1"/>
    <sheet name="Two_Group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4" i="6" l="1"/>
  <c r="B4" i="6"/>
  <c r="C4" i="6"/>
  <c r="D4" i="6"/>
  <c r="E4" i="6"/>
  <c r="F4" i="6"/>
  <c r="G4" i="6"/>
  <c r="H4" i="6"/>
  <c r="I4" i="6"/>
  <c r="J4" i="6"/>
  <c r="K4" i="6"/>
  <c r="L4" i="6"/>
  <c r="M4" i="6"/>
  <c r="N4" i="6"/>
  <c r="O4" i="6"/>
  <c r="Q4" i="6"/>
  <c r="R4" i="6"/>
  <c r="A5" i="6"/>
  <c r="B5" i="6"/>
  <c r="C5" i="6"/>
  <c r="D5" i="6"/>
  <c r="E5" i="6"/>
  <c r="F5" i="6"/>
  <c r="G5" i="6"/>
  <c r="H5" i="6"/>
  <c r="I5" i="6"/>
  <c r="J5" i="6"/>
  <c r="K5" i="6"/>
  <c r="L5" i="6"/>
  <c r="M5" i="6"/>
  <c r="N5" i="6"/>
  <c r="O5" i="6"/>
  <c r="R5" i="6"/>
  <c r="P3" i="6"/>
  <c r="B3" i="6"/>
  <c r="C3" i="6"/>
  <c r="D3" i="6"/>
  <c r="E3" i="6"/>
  <c r="F3" i="6"/>
  <c r="G3" i="6"/>
  <c r="H3" i="6"/>
  <c r="I3" i="6"/>
  <c r="J3" i="6"/>
  <c r="K3" i="6"/>
  <c r="L3" i="6"/>
  <c r="M3" i="6"/>
  <c r="N3" i="6"/>
  <c r="O3" i="6"/>
  <c r="Q3" i="6"/>
  <c r="R3" i="6"/>
  <c r="A3" i="6"/>
  <c r="T2" i="6"/>
  <c r="U2" i="6"/>
  <c r="V2" i="6" s="1"/>
  <c r="I4" i="2"/>
  <c r="M3" i="2"/>
  <c r="M4" i="2" s="1"/>
  <c r="L3" i="2"/>
  <c r="L4" i="2" s="1"/>
  <c r="K3" i="2"/>
  <c r="K4" i="2" s="1"/>
  <c r="J3" i="2"/>
  <c r="J4" i="2" s="1"/>
  <c r="G4" i="2"/>
  <c r="H4" i="2"/>
  <c r="H3" i="2"/>
  <c r="I3" i="2"/>
  <c r="G3" i="2"/>
  <c r="A4" i="2"/>
  <c r="B4" i="2"/>
  <c r="C4" i="2"/>
  <c r="D4" i="2"/>
  <c r="E4" i="2"/>
  <c r="B3" i="2"/>
  <c r="C3" i="2"/>
  <c r="D3" i="2"/>
  <c r="E3" i="2"/>
  <c r="A3" i="2"/>
</calcChain>
</file>

<file path=xl/sharedStrings.xml><?xml version="1.0" encoding="utf-8"?>
<sst xmlns="http://schemas.openxmlformats.org/spreadsheetml/2006/main" count="35" uniqueCount="26">
  <si>
    <t>sigma</t>
  </si>
  <si>
    <t>B_N</t>
  </si>
  <si>
    <t>b_h</t>
  </si>
  <si>
    <t>mu_I</t>
  </si>
  <si>
    <t>mu_N</t>
  </si>
  <si>
    <t>mu_h</t>
  </si>
  <si>
    <t>A</t>
  </si>
  <si>
    <t>B_NH</t>
  </si>
  <si>
    <t>B_NL</t>
  </si>
  <si>
    <t>p</t>
  </si>
  <si>
    <t>alpha</t>
  </si>
  <si>
    <t>lambda</t>
  </si>
  <si>
    <t>tau_k</t>
  </si>
  <si>
    <t>tau_N</t>
  </si>
  <si>
    <t>tau_ I</t>
  </si>
  <si>
    <t>tau_hH</t>
  </si>
  <si>
    <t>tau_hL</t>
  </si>
  <si>
    <t>tau_h</t>
  </si>
  <si>
    <t>alpha_H</t>
  </si>
  <si>
    <t>alpha_L</t>
  </si>
  <si>
    <t>shock</t>
  </si>
  <si>
    <t>sigma_hat</t>
  </si>
  <si>
    <t>A_tilde</t>
  </si>
  <si>
    <t>R_min</t>
  </si>
  <si>
    <t>lambda_h</t>
  </si>
  <si>
    <t xml:space="preserve">shock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</si>
</sst>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7</xdr:row>
      <xdr:rowOff>0</xdr:rowOff>
    </xdr:from>
    <xdr:to>
      <xdr:col>17</xdr:col>
      <xdr:colOff>63500</xdr:colOff>
      <xdr:row>8</xdr:row>
      <xdr:rowOff>63500</xdr:rowOff>
    </xdr:to>
    <xdr:sp macro="[0]!ThisWorkbook.SaveAsTxtFile" textlink="">
      <xdr:nvSpPr>
        <xdr:cNvPr id="3" name="Rectangle 2">
          <a:extLst>
            <a:ext uri="{FF2B5EF4-FFF2-40B4-BE49-F238E27FC236}">
              <a16:creationId xmlns:a16="http://schemas.microsoft.com/office/drawing/2014/main" id="{EFC1966F-FAEA-5F4F-8DFF-FC5C06A2A441}"/>
            </a:ext>
          </a:extLst>
        </xdr:cNvPr>
        <xdr:cNvSpPr/>
      </xdr:nvSpPr>
      <xdr:spPr>
        <a:xfrm>
          <a:off x="11557000" y="14224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0</xdr:colOff>
      <xdr:row>6</xdr:row>
      <xdr:rowOff>0</xdr:rowOff>
    </xdr:from>
    <xdr:to>
      <xdr:col>22</xdr:col>
      <xdr:colOff>63500</xdr:colOff>
      <xdr:row>7</xdr:row>
      <xdr:rowOff>0</xdr:rowOff>
    </xdr:to>
    <xdr:sp macro="[0]!ThisWorkbook.SaveAsTxtFile" textlink="">
      <xdr:nvSpPr>
        <xdr:cNvPr id="2" name="Rectangle 1">
          <a:extLst>
            <a:ext uri="{FF2B5EF4-FFF2-40B4-BE49-F238E27FC236}">
              <a16:creationId xmlns:a16="http://schemas.microsoft.com/office/drawing/2014/main" id="{4DCA3839-12A1-EF4F-B443-15462DBC9E11}"/>
            </a:ext>
          </a:extLst>
        </xdr:cNvPr>
        <xdr:cNvSpPr/>
      </xdr:nvSpPr>
      <xdr:spPr>
        <a:xfrm>
          <a:off x="7429500" y="2032000"/>
          <a:ext cx="889000" cy="266700"/>
        </a:xfrm>
        <a:prstGeom prst="rec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Export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450D08-FF54-1D4D-9371-772F8215959D}">
  <sheetPr codeName="Sheet2"/>
  <dimension ref="A1:N4"/>
  <sheetViews>
    <sheetView workbookViewId="0">
      <selection activeCell="F16" sqref="F16"/>
    </sheetView>
  </sheetViews>
  <sheetFormatPr baseColWidth="10" defaultRowHeight="16" x14ac:dyDescent="0.2"/>
  <sheetData>
    <row r="1" spans="1:14" x14ac:dyDescent="0.2">
      <c r="A1" t="s">
        <v>9</v>
      </c>
      <c r="B1" t="s">
        <v>6</v>
      </c>
      <c r="C1" t="s">
        <v>1</v>
      </c>
      <c r="D1" t="s">
        <v>2</v>
      </c>
      <c r="E1" t="s">
        <v>4</v>
      </c>
      <c r="F1" t="s">
        <v>3</v>
      </c>
      <c r="G1" t="s">
        <v>5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17</v>
      </c>
      <c r="N1" t="s">
        <v>25</v>
      </c>
    </row>
    <row r="2" spans="1:14" x14ac:dyDescent="0.2">
      <c r="A2">
        <v>0.2</v>
      </c>
      <c r="B2">
        <v>0.17</v>
      </c>
      <c r="C2">
        <v>0.6</v>
      </c>
      <c r="D2">
        <v>0.04</v>
      </c>
      <c r="E2">
        <v>1</v>
      </c>
      <c r="F2">
        <v>1</v>
      </c>
      <c r="G2">
        <v>1</v>
      </c>
      <c r="H2">
        <v>0.6</v>
      </c>
      <c r="I2">
        <v>0.9</v>
      </c>
      <c r="J2">
        <v>0</v>
      </c>
      <c r="K2">
        <v>0</v>
      </c>
      <c r="L2">
        <v>0</v>
      </c>
      <c r="M2">
        <v>0</v>
      </c>
    </row>
    <row r="3" spans="1:14" x14ac:dyDescent="0.2">
      <c r="A3">
        <f>A$2</f>
        <v>0.2</v>
      </c>
      <c r="B3">
        <f t="shared" ref="B3:E4" si="0">B$2</f>
        <v>0.17</v>
      </c>
      <c r="C3">
        <f t="shared" si="0"/>
        <v>0.6</v>
      </c>
      <c r="D3">
        <f t="shared" si="0"/>
        <v>0.04</v>
      </c>
      <c r="E3">
        <f t="shared" si="0"/>
        <v>1</v>
      </c>
      <c r="F3">
        <v>1</v>
      </c>
      <c r="G3">
        <f>G$2</f>
        <v>1</v>
      </c>
      <c r="H3">
        <f t="shared" ref="H3:I4" si="1">H$2</f>
        <v>0.6</v>
      </c>
      <c r="I3">
        <f t="shared" si="1"/>
        <v>0.9</v>
      </c>
      <c r="J3">
        <f t="shared" ref="J3:M4" si="2">J2</f>
        <v>0</v>
      </c>
      <c r="K3">
        <f t="shared" si="2"/>
        <v>0</v>
      </c>
      <c r="L3">
        <f t="shared" si="2"/>
        <v>0</v>
      </c>
      <c r="M3">
        <f t="shared" si="2"/>
        <v>0</v>
      </c>
    </row>
    <row r="4" spans="1:14" x14ac:dyDescent="0.2">
      <c r="A4">
        <f>A$2</f>
        <v>0.2</v>
      </c>
      <c r="B4">
        <f t="shared" si="0"/>
        <v>0.17</v>
      </c>
      <c r="C4">
        <f t="shared" si="0"/>
        <v>0.6</v>
      </c>
      <c r="D4">
        <f t="shared" si="0"/>
        <v>0.04</v>
      </c>
      <c r="E4">
        <f t="shared" si="0"/>
        <v>1</v>
      </c>
      <c r="F4">
        <v>0.9</v>
      </c>
      <c r="G4">
        <f>G$2</f>
        <v>1</v>
      </c>
      <c r="H4">
        <f t="shared" si="1"/>
        <v>0.6</v>
      </c>
      <c r="I4">
        <f t="shared" si="1"/>
        <v>0.9</v>
      </c>
      <c r="J4">
        <f t="shared" si="2"/>
        <v>0</v>
      </c>
      <c r="K4">
        <f t="shared" si="2"/>
        <v>0</v>
      </c>
      <c r="L4">
        <f t="shared" si="2"/>
        <v>0</v>
      </c>
      <c r="M4">
        <f t="shared" si="2"/>
        <v>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713A8B-2D47-1648-88E1-A5830BA3E175}">
  <sheetPr codeName="Sheet3"/>
  <dimension ref="A1:V5"/>
  <sheetViews>
    <sheetView tabSelected="1" workbookViewId="0">
      <selection activeCell="C17" sqref="C17"/>
    </sheetView>
  </sheetViews>
  <sheetFormatPr baseColWidth="10" defaultRowHeight="16" x14ac:dyDescent="0.2"/>
  <cols>
    <col min="1" max="2" width="15.5" customWidth="1"/>
  </cols>
  <sheetData>
    <row r="1" spans="1:22" x14ac:dyDescent="0.2">
      <c r="A1" t="s">
        <v>9</v>
      </c>
      <c r="B1" t="s">
        <v>0</v>
      </c>
      <c r="C1" t="s">
        <v>6</v>
      </c>
      <c r="D1" t="s">
        <v>7</v>
      </c>
      <c r="E1" t="s">
        <v>8</v>
      </c>
      <c r="F1" t="s">
        <v>2</v>
      </c>
      <c r="G1" t="s">
        <v>4</v>
      </c>
      <c r="H1" t="s">
        <v>3</v>
      </c>
      <c r="I1" t="s">
        <v>5</v>
      </c>
      <c r="J1" t="s">
        <v>18</v>
      </c>
      <c r="K1" t="s">
        <v>19</v>
      </c>
      <c r="L1" t="s">
        <v>24</v>
      </c>
      <c r="M1" t="s">
        <v>20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T1" t="s">
        <v>21</v>
      </c>
      <c r="U1" t="s">
        <v>22</v>
      </c>
      <c r="V1" t="s">
        <v>23</v>
      </c>
    </row>
    <row r="2" spans="1:22" x14ac:dyDescent="0.2">
      <c r="A2">
        <v>0.1125</v>
      </c>
      <c r="B2">
        <v>2</v>
      </c>
      <c r="C2">
        <v>0.11899999999999999</v>
      </c>
      <c r="D2">
        <v>2.2650999999999999</v>
      </c>
      <c r="E2">
        <v>1</v>
      </c>
      <c r="F2">
        <v>1</v>
      </c>
      <c r="G2">
        <v>2.3618999999999999</v>
      </c>
      <c r="H2">
        <v>9.0135000000000005</v>
      </c>
      <c r="I2">
        <v>193.5608</v>
      </c>
      <c r="J2">
        <v>0.90259999999999996</v>
      </c>
      <c r="K2">
        <v>0.2797</v>
      </c>
      <c r="L2">
        <v>0.76749999999999996</v>
      </c>
      <c r="M2">
        <v>0.7853</v>
      </c>
      <c r="N2">
        <v>0</v>
      </c>
      <c r="O2">
        <v>0</v>
      </c>
      <c r="P2">
        <v>0</v>
      </c>
      <c r="Q2">
        <v>0</v>
      </c>
      <c r="R2">
        <v>0</v>
      </c>
      <c r="T2">
        <f>B2*(1-A2)+A2</f>
        <v>1.8875</v>
      </c>
      <c r="U2">
        <f>C2^(1/(1-A2))</f>
        <v>9.0857916456363846E-2</v>
      </c>
      <c r="V2">
        <f>U2/(1-C2)-0.12</f>
        <v>-1.6869561343514361E-2</v>
      </c>
    </row>
    <row r="3" spans="1:22" x14ac:dyDescent="0.2">
      <c r="A3">
        <f>A$2</f>
        <v>0.1125</v>
      </c>
      <c r="B3">
        <f t="shared" ref="B3:R5" si="0">B$2</f>
        <v>2</v>
      </c>
      <c r="C3">
        <f t="shared" si="0"/>
        <v>0.11899999999999999</v>
      </c>
      <c r="D3">
        <f t="shared" si="0"/>
        <v>2.2650999999999999</v>
      </c>
      <c r="E3">
        <f t="shared" si="0"/>
        <v>1</v>
      </c>
      <c r="F3">
        <f t="shared" si="0"/>
        <v>1</v>
      </c>
      <c r="G3">
        <f t="shared" si="0"/>
        <v>2.3618999999999999</v>
      </c>
      <c r="H3">
        <f t="shared" si="0"/>
        <v>9.0135000000000005</v>
      </c>
      <c r="I3">
        <f t="shared" si="0"/>
        <v>193.5608</v>
      </c>
      <c r="J3">
        <f t="shared" si="0"/>
        <v>0.90259999999999996</v>
      </c>
      <c r="K3">
        <f t="shared" si="0"/>
        <v>0.2797</v>
      </c>
      <c r="L3">
        <f t="shared" si="0"/>
        <v>0.76749999999999996</v>
      </c>
      <c r="M3">
        <f t="shared" si="0"/>
        <v>0.7853</v>
      </c>
      <c r="N3">
        <f t="shared" si="0"/>
        <v>0</v>
      </c>
      <c r="O3">
        <f t="shared" si="0"/>
        <v>0</v>
      </c>
      <c r="P3">
        <f>P$2</f>
        <v>0</v>
      </c>
      <c r="Q3">
        <f t="shared" si="0"/>
        <v>0</v>
      </c>
      <c r="R3">
        <f t="shared" si="0"/>
        <v>0</v>
      </c>
    </row>
    <row r="4" spans="1:22" x14ac:dyDescent="0.2">
      <c r="A4">
        <f t="shared" ref="A4:A5" si="1">A$2</f>
        <v>0.1125</v>
      </c>
      <c r="B4">
        <f t="shared" si="0"/>
        <v>2</v>
      </c>
      <c r="C4">
        <f t="shared" si="0"/>
        <v>0.11899999999999999</v>
      </c>
      <c r="D4">
        <f t="shared" si="0"/>
        <v>2.2650999999999999</v>
      </c>
      <c r="E4">
        <f t="shared" si="0"/>
        <v>1</v>
      </c>
      <c r="F4">
        <f t="shared" si="0"/>
        <v>1</v>
      </c>
      <c r="G4">
        <f t="shared" si="0"/>
        <v>2.3618999999999999</v>
      </c>
      <c r="H4">
        <f t="shared" si="0"/>
        <v>9.0135000000000005</v>
      </c>
      <c r="I4">
        <f t="shared" si="0"/>
        <v>193.5608</v>
      </c>
      <c r="J4">
        <f t="shared" si="0"/>
        <v>0.90259999999999996</v>
      </c>
      <c r="K4">
        <f t="shared" si="0"/>
        <v>0.2797</v>
      </c>
      <c r="L4">
        <f t="shared" si="0"/>
        <v>0.76749999999999996</v>
      </c>
      <c r="M4">
        <f t="shared" si="0"/>
        <v>0.7853</v>
      </c>
      <c r="N4">
        <f t="shared" si="0"/>
        <v>0</v>
      </c>
      <c r="O4">
        <f t="shared" si="0"/>
        <v>0</v>
      </c>
      <c r="P4">
        <v>0.01</v>
      </c>
      <c r="Q4">
        <f t="shared" si="0"/>
        <v>0</v>
      </c>
      <c r="R4">
        <f t="shared" si="0"/>
        <v>0</v>
      </c>
    </row>
    <row r="5" spans="1:22" x14ac:dyDescent="0.2">
      <c r="A5">
        <f t="shared" si="1"/>
        <v>0.1125</v>
      </c>
      <c r="B5">
        <f t="shared" si="0"/>
        <v>2</v>
      </c>
      <c r="C5">
        <f t="shared" si="0"/>
        <v>0.11899999999999999</v>
      </c>
      <c r="D5">
        <f t="shared" si="0"/>
        <v>2.2650999999999999</v>
      </c>
      <c r="E5">
        <f t="shared" si="0"/>
        <v>1</v>
      </c>
      <c r="F5">
        <f t="shared" si="0"/>
        <v>1</v>
      </c>
      <c r="G5">
        <f t="shared" si="0"/>
        <v>2.3618999999999999</v>
      </c>
      <c r="H5">
        <f t="shared" si="0"/>
        <v>9.0135000000000005</v>
      </c>
      <c r="I5">
        <f t="shared" si="0"/>
        <v>193.5608</v>
      </c>
      <c r="J5">
        <f t="shared" si="0"/>
        <v>0.90259999999999996</v>
      </c>
      <c r="K5">
        <f t="shared" si="0"/>
        <v>0.2797</v>
      </c>
      <c r="L5">
        <f t="shared" si="0"/>
        <v>0.76749999999999996</v>
      </c>
      <c r="M5">
        <f t="shared" si="0"/>
        <v>0.7853</v>
      </c>
      <c r="N5">
        <f t="shared" si="0"/>
        <v>0</v>
      </c>
      <c r="O5">
        <f t="shared" si="0"/>
        <v>0</v>
      </c>
      <c r="P5">
        <v>0</v>
      </c>
      <c r="Q5">
        <v>7.0000000000000001E-3</v>
      </c>
      <c r="R5">
        <f t="shared" si="0"/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One_Group</vt:lpstr>
      <vt:lpstr>Two_Group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Fan, Rong</cp:lastModifiedBy>
  <dcterms:created xsi:type="dcterms:W3CDTF">2021-10-20T02:21:20Z</dcterms:created>
  <dcterms:modified xsi:type="dcterms:W3CDTF">2022-09-21T18:31:53Z</dcterms:modified>
</cp:coreProperties>
</file>